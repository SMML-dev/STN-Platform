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6392" windowHeight="506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3" i="1"/>
  <c r="G16" i="1"/>
  <c r="E28" i="1" l="1"/>
  <c r="E2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G27" i="1"/>
  <c r="I27" i="1" s="1"/>
  <c r="F6" i="1"/>
  <c r="H11" i="1" l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I16" i="1"/>
  <c r="G17" i="1"/>
  <c r="I17" i="1" s="1"/>
  <c r="G18" i="1"/>
  <c r="I18" i="1" s="1"/>
  <c r="G19" i="1"/>
  <c r="I19" i="1" s="1"/>
  <c r="G20" i="1"/>
  <c r="I20" i="1" s="1"/>
  <c r="G21" i="1"/>
  <c r="I21" i="1" s="1"/>
  <c r="G22" i="1"/>
  <c r="G23" i="1"/>
  <c r="I23" i="1" s="1"/>
  <c r="G24" i="1"/>
  <c r="I24" i="1" s="1"/>
  <c r="G25" i="1"/>
  <c r="I25" i="1" s="1"/>
  <c r="G26" i="1"/>
  <c r="I26" i="1" s="1"/>
  <c r="G28" i="1"/>
  <c r="I28" i="1" s="1"/>
  <c r="G3" i="1"/>
  <c r="I3" i="1" s="1"/>
  <c r="H22" i="1" l="1"/>
  <c r="I22" i="1" s="1"/>
</calcChain>
</file>

<file path=xl/sharedStrings.xml><?xml version="1.0" encoding="utf-8"?>
<sst xmlns="http://schemas.openxmlformats.org/spreadsheetml/2006/main" count="115" uniqueCount="69">
  <si>
    <t>Designation</t>
  </si>
  <si>
    <t>Quantité</t>
  </si>
  <si>
    <t xml:space="preserve">Moustiquaire </t>
  </si>
  <si>
    <t>Berceau de 0 à 12 mois</t>
  </si>
  <si>
    <t>Paire chaussette</t>
  </si>
  <si>
    <t>Bodys en coton de 0 à 6 mois</t>
  </si>
  <si>
    <t>Bonnet en coton</t>
  </si>
  <si>
    <t>Bol, Tasse, Cuillère, plat</t>
  </si>
  <si>
    <t>Serviette hygiénique jettables post accouchement</t>
  </si>
  <si>
    <t>Draps en coton</t>
  </si>
  <si>
    <t xml:space="preserve">Matelas </t>
  </si>
  <si>
    <t>Alése en toile</t>
  </si>
  <si>
    <t>Sac Caba</t>
  </si>
  <si>
    <t>Panier provision, (légume,fruit…)</t>
  </si>
  <si>
    <t>Commentaires</t>
  </si>
  <si>
    <t>validé</t>
  </si>
  <si>
    <t>en cours</t>
  </si>
  <si>
    <t>Tarif à renegocier</t>
  </si>
  <si>
    <t>Bassine</t>
  </si>
  <si>
    <t>Savons ordinaires</t>
  </si>
  <si>
    <t>Savons parfumés</t>
  </si>
  <si>
    <t>Pot de Karité</t>
  </si>
  <si>
    <t>Ensemble vetement 0 à 6 mois</t>
  </si>
  <si>
    <t>Pyjama 0 à 6 mois</t>
  </si>
  <si>
    <t>validé et acquis</t>
  </si>
  <si>
    <t>valide et acquis</t>
  </si>
  <si>
    <t>Tableau suivi acquisition des articles</t>
  </si>
  <si>
    <t>Roganti</t>
  </si>
  <si>
    <t>Pagne maman</t>
  </si>
  <si>
    <t>attente de retour du fournisseur</t>
  </si>
  <si>
    <t>Kit de 3 serviettes hygiènique lavables</t>
  </si>
  <si>
    <t>Kessing-Kessing</t>
  </si>
  <si>
    <t>Ballon à ficelle</t>
  </si>
  <si>
    <t>en attente d'échantillon</t>
  </si>
  <si>
    <t>Couche lavable avec 2 inserts</t>
  </si>
  <si>
    <t>Acompte</t>
  </si>
  <si>
    <t>Solde</t>
  </si>
  <si>
    <t>Etat</t>
  </si>
  <si>
    <t>Soldé</t>
  </si>
  <si>
    <t>Mbotou avec gravure</t>
  </si>
  <si>
    <t>TOTAL</t>
  </si>
  <si>
    <t>compris dans le pack</t>
  </si>
  <si>
    <t>0-3 mois et 3 - 6 mois</t>
  </si>
  <si>
    <t>chine</t>
  </si>
  <si>
    <t>Pack 08 pièce (Pyjama/body/ ensemble/ bonnet chaussette/ bavoir)</t>
  </si>
  <si>
    <t>Chine</t>
  </si>
  <si>
    <t>En recherche</t>
  </si>
  <si>
    <t>ok</t>
  </si>
  <si>
    <t>Total coût prévisionnels</t>
  </si>
  <si>
    <t>Total coûts réels</t>
  </si>
  <si>
    <t>en cours de production</t>
  </si>
  <si>
    <t xml:space="preserve">compris dans le pack de 8 pièces </t>
  </si>
  <si>
    <t xml:space="preserve">Couts prévisionels unitaires </t>
  </si>
  <si>
    <t>Couts réels unitaires</t>
  </si>
  <si>
    <t>Nombre d'articles</t>
  </si>
  <si>
    <t>Delais de livraison</t>
  </si>
  <si>
    <t>24H</t>
  </si>
  <si>
    <t>-</t>
  </si>
  <si>
    <t>Livré</t>
  </si>
  <si>
    <t>à achater</t>
  </si>
  <si>
    <t>en attente de livraison</t>
  </si>
  <si>
    <r>
      <t>Total C P=</t>
    </r>
    <r>
      <rPr>
        <b/>
        <sz val="12"/>
        <color theme="1"/>
        <rFont val="Calibri"/>
        <family val="2"/>
        <scheme val="minor"/>
      </rPr>
      <t xml:space="preserve"> 1951350</t>
    </r>
  </si>
  <si>
    <r>
      <t xml:space="preserve">Total C P U=  </t>
    </r>
    <r>
      <rPr>
        <b/>
        <sz val="12"/>
        <color theme="1"/>
        <rFont val="Calibri"/>
        <family val="2"/>
        <scheme val="minor"/>
      </rPr>
      <t>61250</t>
    </r>
  </si>
  <si>
    <r>
      <t xml:space="preserve">Total C R U= </t>
    </r>
    <r>
      <rPr>
        <b/>
        <sz val="12"/>
        <color theme="1"/>
        <rFont val="Calibri"/>
        <family val="2"/>
        <scheme val="minor"/>
      </rPr>
      <t>27018</t>
    </r>
  </si>
  <si>
    <r>
      <t xml:space="preserve">Total C R= </t>
    </r>
    <r>
      <rPr>
        <b/>
        <sz val="12"/>
        <color theme="1"/>
        <rFont val="Calibri"/>
        <family val="2"/>
        <scheme val="minor"/>
      </rPr>
      <t>863244</t>
    </r>
  </si>
  <si>
    <r>
      <t>Total Ac=</t>
    </r>
    <r>
      <rPr>
        <b/>
        <sz val="12"/>
        <color theme="1"/>
        <rFont val="Calibri"/>
        <family val="2"/>
        <scheme val="minor"/>
      </rPr>
      <t xml:space="preserve"> 295540</t>
    </r>
  </si>
  <si>
    <r>
      <t xml:space="preserve">Total S= </t>
    </r>
    <r>
      <rPr>
        <b/>
        <sz val="12"/>
        <color theme="1"/>
        <rFont val="Calibri"/>
        <family val="2"/>
        <scheme val="minor"/>
      </rPr>
      <t>567704</t>
    </r>
  </si>
  <si>
    <r>
      <rPr>
        <b/>
        <sz val="11"/>
        <color theme="1"/>
        <rFont val="Calibri"/>
        <family val="2"/>
        <scheme val="minor"/>
      </rPr>
      <t>Total Q</t>
    </r>
    <r>
      <rPr>
        <sz val="11"/>
        <color theme="1"/>
        <rFont val="Calibri"/>
        <family val="2"/>
        <scheme val="minor"/>
      </rPr>
      <t xml:space="preserve">= </t>
    </r>
    <r>
      <rPr>
        <b/>
        <sz val="12"/>
        <color theme="1"/>
        <rFont val="Calibri"/>
        <family val="2"/>
        <scheme val="minor"/>
      </rPr>
      <t>887</t>
    </r>
  </si>
  <si>
    <t>en cours de production pour la gravure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</si>
</sst>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sz val="11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CC33"/>
        <bgColor indexed="64"/>
      </patternFill>
    </fill>
  </fills>
  <borders count="1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" fontId="0" fillId="4" borderId="2" xfId="0" applyNumberForma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" fontId="0" fillId="5" borderId="2" xfId="0" applyNumberForma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CCFFCC"/>
      <color rgb="FF99FFCC"/>
      <color rgb="FF99FF99"/>
      <color rgb="FF99FF66"/>
      <color rgb="FFFDEE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81" zoomScaleNormal="81" workbookViewId="0">
      <selection activeCell="C17" sqref="C17"/>
    </sheetView>
  </sheetViews>
  <sheetFormatPr baseColWidth="10" defaultRowHeight="14.4" x14ac:dyDescent="0.3"/>
  <cols>
    <col min="1" max="1" width="11.5546875" style="18"/>
    <col min="2" max="2" width="53" style="28" customWidth="1"/>
    <col min="3" max="3" width="12.44140625" style="22" customWidth="1"/>
    <col min="4" max="5" width="17.44140625" style="22" customWidth="1"/>
    <col min="6" max="10" width="17.6640625" style="13" customWidth="1"/>
    <col min="11" max="11" width="29" style="28" customWidth="1"/>
    <col min="12" max="12" width="32.33203125" style="36" customWidth="1"/>
    <col min="13" max="16384" width="11.5546875" style="22"/>
  </cols>
  <sheetData>
    <row r="1" spans="1:12" s="13" customFormat="1" ht="37.200000000000003" customHeight="1" x14ac:dyDescent="0.3">
      <c r="A1" s="21" t="s">
        <v>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s="10" customFormat="1" ht="53.4" customHeight="1" x14ac:dyDescent="0.3">
      <c r="A2" s="3" t="s">
        <v>54</v>
      </c>
      <c r="B2" s="15" t="s">
        <v>0</v>
      </c>
      <c r="C2" s="1" t="s">
        <v>1</v>
      </c>
      <c r="D2" s="2" t="s">
        <v>52</v>
      </c>
      <c r="E2" s="2" t="s">
        <v>48</v>
      </c>
      <c r="F2" s="2" t="s">
        <v>53</v>
      </c>
      <c r="G2" s="3" t="s">
        <v>49</v>
      </c>
      <c r="H2" s="3" t="s">
        <v>35</v>
      </c>
      <c r="I2" s="3" t="s">
        <v>36</v>
      </c>
      <c r="J2" s="4" t="s">
        <v>55</v>
      </c>
      <c r="K2" s="4" t="s">
        <v>37</v>
      </c>
      <c r="L2" s="4" t="s">
        <v>14</v>
      </c>
    </row>
    <row r="3" spans="1:12" ht="25.95" customHeight="1" x14ac:dyDescent="0.3">
      <c r="A3" s="17">
        <f>ROW(A1)</f>
        <v>1</v>
      </c>
      <c r="B3" s="45" t="s">
        <v>2</v>
      </c>
      <c r="C3" s="46">
        <v>31</v>
      </c>
      <c r="D3" s="39">
        <v>2500</v>
      </c>
      <c r="E3" s="39">
        <f>C3*D3</f>
        <v>77500</v>
      </c>
      <c r="F3" s="39">
        <v>2500</v>
      </c>
      <c r="G3" s="38">
        <f t="shared" ref="G3:G28" si="0">C3*F3</f>
        <v>77500</v>
      </c>
      <c r="H3" s="38">
        <v>2500</v>
      </c>
      <c r="I3" s="38">
        <f>G3-H3</f>
        <v>75000</v>
      </c>
      <c r="J3" s="38" t="s">
        <v>56</v>
      </c>
      <c r="K3" s="42" t="s">
        <v>15</v>
      </c>
      <c r="L3" s="43" t="s">
        <v>59</v>
      </c>
    </row>
    <row r="4" spans="1:12" s="28" customFormat="1" ht="27" customHeight="1" x14ac:dyDescent="0.3">
      <c r="A4" s="17">
        <f t="shared" ref="A4:A28" si="1">ROW(A2)</f>
        <v>2</v>
      </c>
      <c r="B4" s="23" t="s">
        <v>3</v>
      </c>
      <c r="C4" s="9">
        <v>16</v>
      </c>
      <c r="D4" s="8">
        <v>7500</v>
      </c>
      <c r="E4" s="8">
        <f t="shared" ref="E4:E26" si="2">C4*D4</f>
        <v>120000</v>
      </c>
      <c r="F4" s="8">
        <v>0</v>
      </c>
      <c r="G4" s="7">
        <f t="shared" si="0"/>
        <v>0</v>
      </c>
      <c r="H4" s="7">
        <v>0</v>
      </c>
      <c r="I4" s="7">
        <f t="shared" ref="I4:I28" si="3">G4-H4</f>
        <v>0</v>
      </c>
      <c r="J4" s="7" t="s">
        <v>57</v>
      </c>
      <c r="K4" s="5" t="s">
        <v>33</v>
      </c>
      <c r="L4" s="30" t="s">
        <v>43</v>
      </c>
    </row>
    <row r="5" spans="1:12" s="13" customFormat="1" ht="25.2" customHeight="1" x14ac:dyDescent="0.3">
      <c r="A5" s="17">
        <f t="shared" si="1"/>
        <v>3</v>
      </c>
      <c r="B5" s="45" t="s">
        <v>4</v>
      </c>
      <c r="C5" s="46">
        <v>31</v>
      </c>
      <c r="D5" s="39">
        <v>1000</v>
      </c>
      <c r="E5" s="39">
        <f t="shared" si="2"/>
        <v>31000</v>
      </c>
      <c r="F5" s="39">
        <v>84</v>
      </c>
      <c r="G5" s="38">
        <f t="shared" si="0"/>
        <v>2604</v>
      </c>
      <c r="H5" s="38">
        <v>0</v>
      </c>
      <c r="I5" s="38">
        <f t="shared" si="3"/>
        <v>2604</v>
      </c>
      <c r="J5" s="38" t="s">
        <v>56</v>
      </c>
      <c r="K5" s="42" t="s">
        <v>15</v>
      </c>
      <c r="L5" s="43" t="s">
        <v>59</v>
      </c>
    </row>
    <row r="6" spans="1:12" ht="27.6" customHeight="1" x14ac:dyDescent="0.3">
      <c r="A6" s="17">
        <f t="shared" si="1"/>
        <v>4</v>
      </c>
      <c r="B6" s="47" t="s">
        <v>5</v>
      </c>
      <c r="C6" s="46">
        <v>62</v>
      </c>
      <c r="D6" s="39">
        <v>1500</v>
      </c>
      <c r="E6" s="39">
        <f t="shared" si="2"/>
        <v>93000</v>
      </c>
      <c r="F6" s="39">
        <f>3750/5</f>
        <v>750</v>
      </c>
      <c r="G6" s="38">
        <f t="shared" si="0"/>
        <v>46500</v>
      </c>
      <c r="H6" s="38">
        <v>0</v>
      </c>
      <c r="I6" s="38">
        <f t="shared" si="3"/>
        <v>46500</v>
      </c>
      <c r="J6" s="38" t="s">
        <v>56</v>
      </c>
      <c r="K6" s="42" t="s">
        <v>15</v>
      </c>
      <c r="L6" s="43" t="s">
        <v>42</v>
      </c>
    </row>
    <row r="7" spans="1:12" ht="24" customHeight="1" x14ac:dyDescent="0.3">
      <c r="A7" s="17">
        <f t="shared" si="1"/>
        <v>5</v>
      </c>
      <c r="B7" s="45" t="s">
        <v>6</v>
      </c>
      <c r="C7" s="46">
        <v>31</v>
      </c>
      <c r="D7" s="39">
        <v>1000</v>
      </c>
      <c r="E7" s="39">
        <f t="shared" si="2"/>
        <v>31000</v>
      </c>
      <c r="F7" s="39">
        <v>0</v>
      </c>
      <c r="G7" s="38">
        <f t="shared" si="0"/>
        <v>0</v>
      </c>
      <c r="H7" s="38">
        <v>0</v>
      </c>
      <c r="I7" s="38">
        <f>G7-H7</f>
        <v>0</v>
      </c>
      <c r="J7" s="38" t="s">
        <v>57</v>
      </c>
      <c r="K7" s="42" t="s">
        <v>15</v>
      </c>
      <c r="L7" s="43" t="s">
        <v>51</v>
      </c>
    </row>
    <row r="8" spans="1:12" ht="24" customHeight="1" x14ac:dyDescent="0.3">
      <c r="A8" s="17">
        <f t="shared" si="1"/>
        <v>6</v>
      </c>
      <c r="B8" s="45" t="s">
        <v>7</v>
      </c>
      <c r="C8" s="46">
        <v>31</v>
      </c>
      <c r="D8" s="39">
        <v>1600</v>
      </c>
      <c r="E8" s="39">
        <f t="shared" si="2"/>
        <v>49600</v>
      </c>
      <c r="F8" s="39">
        <v>1250</v>
      </c>
      <c r="G8" s="38">
        <f t="shared" si="0"/>
        <v>38750</v>
      </c>
      <c r="H8" s="38">
        <v>0</v>
      </c>
      <c r="I8" s="38">
        <f t="shared" si="3"/>
        <v>38750</v>
      </c>
      <c r="J8" s="38" t="s">
        <v>56</v>
      </c>
      <c r="K8" s="42" t="s">
        <v>17</v>
      </c>
      <c r="L8" s="43" t="s">
        <v>59</v>
      </c>
    </row>
    <row r="9" spans="1:12" ht="34.200000000000003" customHeight="1" x14ac:dyDescent="0.3">
      <c r="A9" s="17">
        <f t="shared" si="1"/>
        <v>7</v>
      </c>
      <c r="B9" s="44" t="s">
        <v>8</v>
      </c>
      <c r="C9" s="38">
        <v>31</v>
      </c>
      <c r="D9" s="40">
        <v>3750</v>
      </c>
      <c r="E9" s="39">
        <f t="shared" si="2"/>
        <v>116250</v>
      </c>
      <c r="F9" s="48">
        <v>1250</v>
      </c>
      <c r="G9" s="38">
        <f t="shared" si="0"/>
        <v>38750</v>
      </c>
      <c r="H9" s="38">
        <v>0</v>
      </c>
      <c r="I9" s="38">
        <f t="shared" si="3"/>
        <v>38750</v>
      </c>
      <c r="J9" s="38" t="s">
        <v>56</v>
      </c>
      <c r="K9" s="42" t="s">
        <v>15</v>
      </c>
      <c r="L9" s="43" t="s">
        <v>59</v>
      </c>
    </row>
    <row r="10" spans="1:12" ht="24" customHeight="1" x14ac:dyDescent="0.3">
      <c r="A10" s="17">
        <f t="shared" si="1"/>
        <v>8</v>
      </c>
      <c r="B10" s="37" t="s">
        <v>9</v>
      </c>
      <c r="C10" s="38">
        <v>31</v>
      </c>
      <c r="D10" s="40">
        <v>1500</v>
      </c>
      <c r="E10" s="39">
        <f t="shared" si="2"/>
        <v>46500</v>
      </c>
      <c r="F10" s="48">
        <v>1000</v>
      </c>
      <c r="G10" s="38">
        <f t="shared" si="0"/>
        <v>31000</v>
      </c>
      <c r="H10" s="43">
        <v>31000</v>
      </c>
      <c r="I10" s="38">
        <f t="shared" si="3"/>
        <v>0</v>
      </c>
      <c r="J10" s="41">
        <v>44875</v>
      </c>
      <c r="K10" s="42" t="s">
        <v>38</v>
      </c>
      <c r="L10" s="43" t="s">
        <v>60</v>
      </c>
    </row>
    <row r="11" spans="1:12" ht="24.6" customHeight="1" x14ac:dyDescent="0.3">
      <c r="A11" s="17">
        <f t="shared" si="1"/>
        <v>9</v>
      </c>
      <c r="B11" s="49" t="s">
        <v>10</v>
      </c>
      <c r="C11" s="50">
        <v>31</v>
      </c>
      <c r="D11" s="51">
        <v>6000</v>
      </c>
      <c r="E11" s="39">
        <f t="shared" si="2"/>
        <v>186000</v>
      </c>
      <c r="F11" s="51">
        <v>4500</v>
      </c>
      <c r="G11" s="38">
        <f t="shared" si="0"/>
        <v>139500</v>
      </c>
      <c r="H11" s="38">
        <f>150000-31000</f>
        <v>119000</v>
      </c>
      <c r="I11" s="38">
        <f t="shared" si="3"/>
        <v>20500</v>
      </c>
      <c r="J11" s="41">
        <v>44875</v>
      </c>
      <c r="K11" s="42" t="s">
        <v>15</v>
      </c>
      <c r="L11" s="43" t="s">
        <v>60</v>
      </c>
    </row>
    <row r="12" spans="1:12" ht="24.6" customHeight="1" x14ac:dyDescent="0.3">
      <c r="A12" s="17">
        <f t="shared" si="1"/>
        <v>10</v>
      </c>
      <c r="B12" s="37" t="s">
        <v>11</v>
      </c>
      <c r="C12" s="38">
        <v>31</v>
      </c>
      <c r="D12" s="40">
        <v>1000</v>
      </c>
      <c r="E12" s="39">
        <f t="shared" si="2"/>
        <v>31000</v>
      </c>
      <c r="F12" s="40">
        <v>1000</v>
      </c>
      <c r="G12" s="38">
        <f t="shared" si="0"/>
        <v>31000</v>
      </c>
      <c r="H12" s="38">
        <v>0</v>
      </c>
      <c r="I12" s="38">
        <f t="shared" si="3"/>
        <v>31000</v>
      </c>
      <c r="J12" s="38" t="s">
        <v>56</v>
      </c>
      <c r="K12" s="42" t="s">
        <v>15</v>
      </c>
      <c r="L12" s="43" t="s">
        <v>59</v>
      </c>
    </row>
    <row r="13" spans="1:12" s="13" customFormat="1" ht="20.399999999999999" customHeight="1" x14ac:dyDescent="0.3">
      <c r="A13" s="17">
        <f t="shared" si="1"/>
        <v>11</v>
      </c>
      <c r="B13" s="37" t="s">
        <v>23</v>
      </c>
      <c r="C13" s="38">
        <v>31</v>
      </c>
      <c r="D13" s="40">
        <v>3000</v>
      </c>
      <c r="E13" s="39">
        <f t="shared" si="2"/>
        <v>93000</v>
      </c>
      <c r="F13" s="48">
        <v>0</v>
      </c>
      <c r="G13" s="38">
        <f t="shared" si="0"/>
        <v>0</v>
      </c>
      <c r="H13" s="43">
        <v>0</v>
      </c>
      <c r="I13" s="38">
        <f t="shared" si="3"/>
        <v>0</v>
      </c>
      <c r="J13" s="38" t="s">
        <v>57</v>
      </c>
      <c r="K13" s="42" t="s">
        <v>15</v>
      </c>
      <c r="L13" s="43" t="s">
        <v>41</v>
      </c>
    </row>
    <row r="14" spans="1:12" s="13" customFormat="1" ht="24.6" customHeight="1" x14ac:dyDescent="0.3">
      <c r="A14" s="17">
        <f t="shared" si="1"/>
        <v>12</v>
      </c>
      <c r="B14" s="24" t="s">
        <v>12</v>
      </c>
      <c r="C14" s="30">
        <v>31</v>
      </c>
      <c r="D14" s="31">
        <v>2000</v>
      </c>
      <c r="E14" s="32">
        <f t="shared" si="2"/>
        <v>62000</v>
      </c>
      <c r="F14" s="31">
        <v>0</v>
      </c>
      <c r="G14" s="30">
        <f t="shared" si="0"/>
        <v>0</v>
      </c>
      <c r="H14" s="30">
        <v>0</v>
      </c>
      <c r="I14" s="30">
        <f t="shared" si="3"/>
        <v>0</v>
      </c>
      <c r="J14" s="30"/>
      <c r="K14" s="6" t="s">
        <v>16</v>
      </c>
      <c r="L14" s="30" t="s">
        <v>45</v>
      </c>
    </row>
    <row r="15" spans="1:12" s="13" customFormat="1" ht="23.4" customHeight="1" x14ac:dyDescent="0.3">
      <c r="A15" s="17">
        <f t="shared" si="1"/>
        <v>13</v>
      </c>
      <c r="B15" s="24" t="s">
        <v>18</v>
      </c>
      <c r="C15" s="30">
        <v>16</v>
      </c>
      <c r="D15" s="31">
        <v>4500</v>
      </c>
      <c r="E15" s="32">
        <f t="shared" si="2"/>
        <v>72000</v>
      </c>
      <c r="F15" s="33">
        <v>0</v>
      </c>
      <c r="G15" s="30">
        <f t="shared" si="0"/>
        <v>0</v>
      </c>
      <c r="H15" s="34">
        <v>0</v>
      </c>
      <c r="I15" s="30">
        <f t="shared" si="3"/>
        <v>0</v>
      </c>
      <c r="J15" s="30"/>
      <c r="K15" s="6" t="s">
        <v>16</v>
      </c>
      <c r="L15" s="30" t="s">
        <v>45</v>
      </c>
    </row>
    <row r="16" spans="1:12" s="13" customFormat="1" ht="25.95" customHeight="1" x14ac:dyDescent="0.3">
      <c r="A16" s="17">
        <f t="shared" si="1"/>
        <v>14</v>
      </c>
      <c r="B16" s="44" t="s">
        <v>22</v>
      </c>
      <c r="C16" s="38">
        <v>31</v>
      </c>
      <c r="D16" s="40">
        <v>2000</v>
      </c>
      <c r="E16" s="39">
        <f t="shared" si="2"/>
        <v>62000</v>
      </c>
      <c r="F16" s="48">
        <v>2800</v>
      </c>
      <c r="G16" s="38">
        <f>2800*31</f>
        <v>86800</v>
      </c>
      <c r="H16" s="43">
        <v>0</v>
      </c>
      <c r="I16" s="38">
        <f t="shared" si="3"/>
        <v>86800</v>
      </c>
      <c r="J16" s="38" t="s">
        <v>57</v>
      </c>
      <c r="K16" s="42" t="s">
        <v>15</v>
      </c>
      <c r="L16" s="43" t="s">
        <v>41</v>
      </c>
    </row>
    <row r="17" spans="1:12" s="13" customFormat="1" ht="30" customHeight="1" x14ac:dyDescent="0.3">
      <c r="A17" s="17">
        <f t="shared" si="1"/>
        <v>15</v>
      </c>
      <c r="B17" s="44" t="s">
        <v>13</v>
      </c>
      <c r="C17" s="52">
        <v>31</v>
      </c>
      <c r="D17" s="53">
        <v>1500</v>
      </c>
      <c r="E17" s="54">
        <f t="shared" si="2"/>
        <v>46500</v>
      </c>
      <c r="F17" s="53">
        <v>0</v>
      </c>
      <c r="G17" s="52">
        <f t="shared" si="0"/>
        <v>0</v>
      </c>
      <c r="H17" s="52">
        <v>0</v>
      </c>
      <c r="I17" s="52">
        <f t="shared" si="3"/>
        <v>0</v>
      </c>
      <c r="J17" s="52"/>
      <c r="K17" s="42" t="s">
        <v>16</v>
      </c>
      <c r="L17" s="43" t="s">
        <v>46</v>
      </c>
    </row>
    <row r="18" spans="1:12" ht="22.95" customHeight="1" x14ac:dyDescent="0.3">
      <c r="A18" s="17">
        <f t="shared" si="1"/>
        <v>16</v>
      </c>
      <c r="B18" s="55" t="s">
        <v>19</v>
      </c>
      <c r="C18" s="56">
        <v>60</v>
      </c>
      <c r="D18" s="56">
        <v>400</v>
      </c>
      <c r="E18" s="57">
        <f t="shared" si="2"/>
        <v>24000</v>
      </c>
      <c r="F18" s="58">
        <v>165</v>
      </c>
      <c r="G18" s="56">
        <f t="shared" si="0"/>
        <v>9900</v>
      </c>
      <c r="H18" s="59">
        <v>9900</v>
      </c>
      <c r="I18" s="56">
        <f t="shared" si="3"/>
        <v>0</v>
      </c>
      <c r="J18" s="56" t="s">
        <v>58</v>
      </c>
      <c r="K18" s="60" t="s">
        <v>24</v>
      </c>
      <c r="L18" s="59" t="s">
        <v>47</v>
      </c>
    </row>
    <row r="19" spans="1:12" ht="26.4" customHeight="1" x14ac:dyDescent="0.3">
      <c r="A19" s="17">
        <f t="shared" si="1"/>
        <v>17</v>
      </c>
      <c r="B19" s="55" t="s">
        <v>20</v>
      </c>
      <c r="C19" s="56">
        <v>60</v>
      </c>
      <c r="D19" s="56">
        <v>500</v>
      </c>
      <c r="E19" s="57">
        <f t="shared" si="2"/>
        <v>30000</v>
      </c>
      <c r="F19" s="58">
        <v>219</v>
      </c>
      <c r="G19" s="56">
        <f t="shared" si="0"/>
        <v>13140</v>
      </c>
      <c r="H19" s="59">
        <v>13140</v>
      </c>
      <c r="I19" s="56">
        <f t="shared" si="3"/>
        <v>0</v>
      </c>
      <c r="J19" s="56" t="s">
        <v>58</v>
      </c>
      <c r="K19" s="60" t="s">
        <v>24</v>
      </c>
      <c r="L19" s="59" t="s">
        <v>47</v>
      </c>
    </row>
    <row r="20" spans="1:12" ht="24.6" customHeight="1" x14ac:dyDescent="0.3">
      <c r="A20" s="17">
        <f t="shared" si="1"/>
        <v>18</v>
      </c>
      <c r="B20" s="55" t="s">
        <v>21</v>
      </c>
      <c r="C20" s="56">
        <v>30</v>
      </c>
      <c r="D20" s="56">
        <v>1000</v>
      </c>
      <c r="E20" s="57">
        <f t="shared" si="2"/>
        <v>30000</v>
      </c>
      <c r="F20" s="58">
        <v>900</v>
      </c>
      <c r="G20" s="56">
        <f t="shared" si="0"/>
        <v>27000</v>
      </c>
      <c r="H20" s="59">
        <v>27000</v>
      </c>
      <c r="I20" s="56">
        <f t="shared" si="3"/>
        <v>0</v>
      </c>
      <c r="J20" s="56" t="s">
        <v>58</v>
      </c>
      <c r="K20" s="60" t="s">
        <v>25</v>
      </c>
      <c r="L20" s="59" t="s">
        <v>47</v>
      </c>
    </row>
    <row r="21" spans="1:12" ht="24" customHeight="1" x14ac:dyDescent="0.3">
      <c r="A21" s="17">
        <f t="shared" si="1"/>
        <v>19</v>
      </c>
      <c r="B21" s="55" t="s">
        <v>27</v>
      </c>
      <c r="C21" s="56">
        <v>30</v>
      </c>
      <c r="D21" s="56">
        <v>1500</v>
      </c>
      <c r="E21" s="57">
        <f t="shared" si="2"/>
        <v>45000</v>
      </c>
      <c r="F21" s="61">
        <v>1950</v>
      </c>
      <c r="G21" s="56">
        <f t="shared" si="0"/>
        <v>58500</v>
      </c>
      <c r="H21" s="56"/>
      <c r="I21" s="56">
        <f t="shared" si="3"/>
        <v>58500</v>
      </c>
      <c r="J21" s="56" t="s">
        <v>58</v>
      </c>
      <c r="K21" s="60" t="s">
        <v>25</v>
      </c>
      <c r="L21" s="59" t="s">
        <v>47</v>
      </c>
    </row>
    <row r="22" spans="1:12" ht="44.4" customHeight="1" x14ac:dyDescent="0.3">
      <c r="A22" s="17">
        <f t="shared" si="1"/>
        <v>20</v>
      </c>
      <c r="B22" s="55" t="s">
        <v>39</v>
      </c>
      <c r="C22" s="56">
        <v>30</v>
      </c>
      <c r="D22" s="56">
        <v>2000</v>
      </c>
      <c r="E22" s="57">
        <f t="shared" si="2"/>
        <v>60000</v>
      </c>
      <c r="F22" s="58">
        <v>2500</v>
      </c>
      <c r="G22" s="56">
        <f t="shared" si="0"/>
        <v>75000</v>
      </c>
      <c r="H22" s="59">
        <f>G22-15000</f>
        <v>60000</v>
      </c>
      <c r="I22" s="56">
        <f t="shared" si="3"/>
        <v>15000</v>
      </c>
      <c r="J22" s="62">
        <v>44869</v>
      </c>
      <c r="K22" s="63" t="s">
        <v>68</v>
      </c>
      <c r="L22" s="59" t="s">
        <v>47</v>
      </c>
    </row>
    <row r="23" spans="1:12" ht="23.4" customHeight="1" x14ac:dyDescent="0.3">
      <c r="A23" s="17">
        <f t="shared" si="1"/>
        <v>21</v>
      </c>
      <c r="B23" s="55" t="s">
        <v>28</v>
      </c>
      <c r="C23" s="56">
        <v>30</v>
      </c>
      <c r="D23" s="56">
        <v>2000</v>
      </c>
      <c r="E23" s="57">
        <f t="shared" si="2"/>
        <v>60000</v>
      </c>
      <c r="F23" s="61">
        <v>1350</v>
      </c>
      <c r="G23" s="56">
        <f t="shared" si="0"/>
        <v>40500</v>
      </c>
      <c r="H23" s="56"/>
      <c r="I23" s="56">
        <f t="shared" si="3"/>
        <v>40500</v>
      </c>
      <c r="J23" s="56" t="s">
        <v>58</v>
      </c>
      <c r="K23" s="60" t="s">
        <v>25</v>
      </c>
      <c r="L23" s="59" t="s">
        <v>47</v>
      </c>
    </row>
    <row r="24" spans="1:12" ht="33" customHeight="1" x14ac:dyDescent="0.3">
      <c r="A24" s="17">
        <f t="shared" si="1"/>
        <v>22</v>
      </c>
      <c r="B24" s="24" t="s">
        <v>34</v>
      </c>
      <c r="C24" s="25">
        <v>60</v>
      </c>
      <c r="D24" s="25">
        <v>6000</v>
      </c>
      <c r="E24" s="26">
        <f t="shared" si="2"/>
        <v>360000</v>
      </c>
      <c r="F24" s="29">
        <v>0</v>
      </c>
      <c r="G24" s="25">
        <f t="shared" si="0"/>
        <v>0</v>
      </c>
      <c r="H24" s="25">
        <v>0</v>
      </c>
      <c r="I24" s="25">
        <f t="shared" si="3"/>
        <v>0</v>
      </c>
      <c r="J24" s="25"/>
      <c r="K24" s="6" t="s">
        <v>29</v>
      </c>
      <c r="L24" s="30" t="s">
        <v>43</v>
      </c>
    </row>
    <row r="25" spans="1:12" ht="31.95" customHeight="1" x14ac:dyDescent="0.3">
      <c r="A25" s="17">
        <f t="shared" si="1"/>
        <v>23</v>
      </c>
      <c r="B25" s="24" t="s">
        <v>30</v>
      </c>
      <c r="C25" s="25">
        <v>30</v>
      </c>
      <c r="D25" s="25">
        <v>5500</v>
      </c>
      <c r="E25" s="26">
        <f t="shared" si="2"/>
        <v>165000</v>
      </c>
      <c r="F25" s="29">
        <v>0</v>
      </c>
      <c r="G25" s="25">
        <f t="shared" si="0"/>
        <v>0</v>
      </c>
      <c r="H25" s="25">
        <v>0</v>
      </c>
      <c r="I25" s="25">
        <f t="shared" si="3"/>
        <v>0</v>
      </c>
      <c r="J25" s="25"/>
      <c r="K25" s="6" t="s">
        <v>29</v>
      </c>
      <c r="L25" s="30" t="s">
        <v>43</v>
      </c>
    </row>
    <row r="26" spans="1:12" ht="25.95" customHeight="1" x14ac:dyDescent="0.3">
      <c r="A26" s="17">
        <f t="shared" si="1"/>
        <v>24</v>
      </c>
      <c r="B26" s="37" t="s">
        <v>31</v>
      </c>
      <c r="C26" s="38">
        <v>30</v>
      </c>
      <c r="D26" s="38">
        <v>1000</v>
      </c>
      <c r="E26" s="39">
        <f t="shared" si="2"/>
        <v>30000</v>
      </c>
      <c r="F26" s="40">
        <v>1000</v>
      </c>
      <c r="G26" s="38">
        <f t="shared" si="0"/>
        <v>30000</v>
      </c>
      <c r="H26" s="38">
        <v>15000</v>
      </c>
      <c r="I26" s="38">
        <f t="shared" si="3"/>
        <v>15000</v>
      </c>
      <c r="J26" s="41">
        <v>44873</v>
      </c>
      <c r="K26" s="42" t="s">
        <v>50</v>
      </c>
      <c r="L26" s="43" t="s">
        <v>60</v>
      </c>
    </row>
    <row r="27" spans="1:12" ht="37.200000000000003" customHeight="1" x14ac:dyDescent="0.3">
      <c r="A27" s="17">
        <f t="shared" si="1"/>
        <v>25</v>
      </c>
      <c r="B27" s="44" t="s">
        <v>44</v>
      </c>
      <c r="C27" s="38">
        <v>31</v>
      </c>
      <c r="D27" s="38">
        <v>3000</v>
      </c>
      <c r="E27" s="39">
        <f>C27*D27</f>
        <v>93000</v>
      </c>
      <c r="F27" s="40">
        <v>2800</v>
      </c>
      <c r="G27" s="38">
        <f t="shared" si="0"/>
        <v>86800</v>
      </c>
      <c r="H27" s="38">
        <v>3000</v>
      </c>
      <c r="I27" s="38">
        <f t="shared" si="3"/>
        <v>83800</v>
      </c>
      <c r="J27" s="38" t="s">
        <v>56</v>
      </c>
      <c r="K27" s="42" t="s">
        <v>15</v>
      </c>
      <c r="L27" s="43" t="s">
        <v>59</v>
      </c>
    </row>
    <row r="28" spans="1:12" ht="27" customHeight="1" x14ac:dyDescent="0.3">
      <c r="A28" s="17">
        <f t="shared" si="1"/>
        <v>26</v>
      </c>
      <c r="B28" s="37" t="s">
        <v>32</v>
      </c>
      <c r="C28" s="38">
        <v>30</v>
      </c>
      <c r="D28" s="38">
        <v>1000</v>
      </c>
      <c r="E28" s="39">
        <f>C28*D28</f>
        <v>30000</v>
      </c>
      <c r="F28" s="40">
        <v>1000</v>
      </c>
      <c r="G28" s="38">
        <f t="shared" si="0"/>
        <v>30000</v>
      </c>
      <c r="H28" s="38">
        <v>15000</v>
      </c>
      <c r="I28" s="38">
        <f t="shared" si="3"/>
        <v>15000</v>
      </c>
      <c r="J28" s="41">
        <v>44873</v>
      </c>
      <c r="K28" s="42" t="s">
        <v>50</v>
      </c>
      <c r="L28" s="43" t="s">
        <v>60</v>
      </c>
    </row>
    <row r="29" spans="1:12" s="13" customFormat="1" ht="44.4" customHeight="1" x14ac:dyDescent="0.3">
      <c r="A29" s="17"/>
      <c r="B29" s="16" t="s">
        <v>40</v>
      </c>
      <c r="C29" s="11" t="s">
        <v>67</v>
      </c>
      <c r="D29" s="14" t="s">
        <v>62</v>
      </c>
      <c r="E29" s="12" t="s">
        <v>61</v>
      </c>
      <c r="F29" s="12" t="s">
        <v>63</v>
      </c>
      <c r="G29" s="12" t="s">
        <v>64</v>
      </c>
      <c r="H29" s="12" t="s">
        <v>65</v>
      </c>
      <c r="I29" s="12" t="s">
        <v>66</v>
      </c>
      <c r="J29" s="27"/>
      <c r="K29" s="35"/>
      <c r="L29" s="36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2022-10-31T14:41:50Z</dcterms:created>
  <dcterms:modified xsi:type="dcterms:W3CDTF">2022-11-03T10:51:25Z</dcterms:modified>
</cp:coreProperties>
</file>